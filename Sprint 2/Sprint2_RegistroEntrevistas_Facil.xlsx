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ntoniofehring/Desktop/PUC/Projeto Integrado - Software/"/>
    </mc:Choice>
  </mc:AlternateContent>
  <xr:revisionPtr revIDLastSave="0" documentId="13_ncr:1_{3E487602-F23F-194E-8B5B-35C7B052F29F}" xr6:coauthVersionLast="47" xr6:coauthVersionMax="47" xr10:uidLastSave="{00000000-0000-0000-0000-000000000000}"/>
  <bookViews>
    <workbookView xWindow="0" yWindow="600" windowWidth="28800" windowHeight="15820" tabRatio="500" xr2:uid="{00000000-000D-0000-FFFF-FFFF00000000}"/>
  </bookViews>
  <sheets>
    <sheet name="Respostas" sheetId="2" r:id="rId1"/>
    <sheet name="Resumo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" i="3" l="1"/>
  <c r="D42" i="3"/>
  <c r="D41" i="3"/>
  <c r="D39" i="3"/>
  <c r="D38" i="3"/>
  <c r="D37" i="3"/>
  <c r="D35" i="3"/>
  <c r="D34" i="3"/>
  <c r="D33" i="3"/>
  <c r="D32" i="3"/>
  <c r="G17" i="3"/>
  <c r="G16" i="3"/>
  <c r="G15" i="3"/>
  <c r="G14" i="3"/>
  <c r="C6" i="3"/>
  <c r="F16" i="3" s="1"/>
  <c r="C28" i="3" l="1"/>
  <c r="E33" i="3"/>
  <c r="E34" i="3"/>
  <c r="E35" i="3"/>
  <c r="E37" i="3"/>
  <c r="E38" i="3"/>
  <c r="E39" i="3"/>
  <c r="E41" i="3"/>
  <c r="E32" i="3"/>
  <c r="E42" i="3"/>
  <c r="E43" i="3"/>
  <c r="C10" i="3"/>
  <c r="E15" i="3"/>
  <c r="C17" i="3"/>
  <c r="E17" i="3"/>
  <c r="F14" i="3"/>
  <c r="D16" i="3"/>
  <c r="C7" i="3"/>
  <c r="C9" i="3"/>
  <c r="D15" i="3"/>
  <c r="C14" i="3"/>
  <c r="C23" i="3" s="1"/>
  <c r="F15" i="3"/>
  <c r="D17" i="3"/>
  <c r="D14" i="3"/>
  <c r="E14" i="3"/>
  <c r="C16" i="3"/>
  <c r="F17" i="3"/>
  <c r="E16" i="3"/>
  <c r="C8" i="3"/>
  <c r="C15" i="3"/>
  <c r="C27" i="3" l="1"/>
  <c r="C24" i="3"/>
  <c r="C26" i="3"/>
  <c r="C25" i="3"/>
</calcChain>
</file>

<file path=xl/sharedStrings.xml><?xml version="1.0" encoding="utf-8"?>
<sst xmlns="http://schemas.openxmlformats.org/spreadsheetml/2006/main" count="187" uniqueCount="123">
  <si>
    <t>Idade</t>
  </si>
  <si>
    <t>Ocupação</t>
  </si>
  <si>
    <t>Frequência de compra online (P2)</t>
  </si>
  <si>
    <t>Ticket médio R$ (P3)</t>
  </si>
  <si>
    <t>Já comprou outlet/brechó? (P4)</t>
  </si>
  <si>
    <t>Já recebeu peça com defeito? (P6)</t>
  </si>
  <si>
    <t>O que fez nesse caso (P6)</t>
  </si>
  <si>
    <t>Cenário A — desconto mín.</t>
  </si>
  <si>
    <t>Cenário B — desconto mín.</t>
  </si>
  <si>
    <t>Cenário C — desconto mín.</t>
  </si>
  <si>
    <t>Cenário D — desconto mín.</t>
  </si>
  <si>
    <t>~1x por mês</t>
  </si>
  <si>
    <t>S</t>
  </si>
  <si>
    <t>D</t>
  </si>
  <si>
    <t>Aparência</t>
  </si>
  <si>
    <t>Em parte</t>
  </si>
  <si>
    <t>1. Amostra</t>
  </si>
  <si>
    <t>Entrevistas registradas</t>
  </si>
  <si>
    <t>Idade média</t>
  </si>
  <si>
    <t>Ticket médio declarado</t>
  </si>
  <si>
    <t>Já comprou outlet / brechó / app de usado</t>
  </si>
  <si>
    <t>Já recebeu peça com defeito</t>
  </si>
  <si>
    <t>2. Desconto mínimo aceito, por cenário (Bloco 4)</t>
  </si>
  <si>
    <t>Cenário</t>
  </si>
  <si>
    <t>Média</t>
  </si>
  <si>
    <t>Mediana</t>
  </si>
  <si>
    <t>Mínimo</t>
  </si>
  <si>
    <t>Máximo</t>
  </si>
  <si>
    <t>Nº "NC"</t>
  </si>
  <si>
    <t>Critérios testados</t>
  </si>
  <si>
    <t>A — mancha 2 cm no forro (invisível)</t>
  </si>
  <si>
    <t>estético + escondido + pequeno</t>
  </si>
  <si>
    <t>B — costura torta 10 cm, visível</t>
  </si>
  <si>
    <t>estético + visível + médio</t>
  </si>
  <si>
    <t>C — botão faltando</t>
  </si>
  <si>
    <t>funcional + visível + leve</t>
  </si>
  <si>
    <t>D — zíper quebrado</t>
  </si>
  <si>
    <t>funcional + visível + grave</t>
  </si>
  <si>
    <t>3. Calibração dos pesos do simulador</t>
  </si>
  <si>
    <t>Desconto-base (defeito estético, escondido, pequeno)</t>
  </si>
  <si>
    <t>média do cenário A</t>
  </si>
  <si>
    <t>Efeito de o defeito ficar visível</t>
  </si>
  <si>
    <t>média B menos média A</t>
  </si>
  <si>
    <t>Efeito de o defeito afetar o uso</t>
  </si>
  <si>
    <t>média D menos média B</t>
  </si>
  <si>
    <t>Defeito funcional leve vs. estético visível</t>
  </si>
  <si>
    <t>média C menos média B</t>
  </si>
  <si>
    <t>Teto observado de desconto</t>
  </si>
  <si>
    <t>maior média entre os quatro cenários</t>
  </si>
  <si>
    <t>Total de recusas ("NC") em todos os cenários</t>
  </si>
  <si>
    <t>quanto maior, mais gente que nenhum desconto converte</t>
  </si>
  <si>
    <t>4. Percepção qualitativa (contagens)</t>
  </si>
  <si>
    <t>Pergunta</t>
  </si>
  <si>
    <t>Opção</t>
  </si>
  <si>
    <t>Nº de respostas</t>
  </si>
  <si>
    <t>% da amostra</t>
  </si>
  <si>
    <t>P11 — cenário que mais incomodou</t>
  </si>
  <si>
    <t>A</t>
  </si>
  <si>
    <t>B</t>
  </si>
  <si>
    <t>C</t>
  </si>
  <si>
    <t>P12 — o que pesa mais na decisão</t>
  </si>
  <si>
    <t>Uso</t>
  </si>
  <si>
    <t>Depende</t>
  </si>
  <si>
    <t>P14 — confia na nota de severidade</t>
  </si>
  <si>
    <t>Sim</t>
  </si>
  <si>
    <t>Não</t>
  </si>
  <si>
    <t>empregada doméstica</t>
  </si>
  <si>
    <t>arquiteta</t>
  </si>
  <si>
    <t>Sharon Biggs</t>
  </si>
  <si>
    <t>Poucas vezes por ano</t>
  </si>
  <si>
    <t>consertou</t>
  </si>
  <si>
    <t>sempre acha justo</t>
  </si>
  <si>
    <t>se dá para consertar</t>
  </si>
  <si>
    <t>Maria do Carmo Luiz</t>
  </si>
  <si>
    <t>NC</t>
  </si>
  <si>
    <t>achou boa apenas para produtos cujo defeito atrapalha o uso da peça</t>
  </si>
  <si>
    <t>nada</t>
  </si>
  <si>
    <t>Como julga se o desconto é justo (P7)</t>
  </si>
  <si>
    <t>O que precisaria saber para comprar (P8)</t>
  </si>
  <si>
    <t>Cenário que mais incomodou (P9)</t>
  </si>
  <si>
    <t>Uso vs. aparência (P10)</t>
  </si>
  <si>
    <t>Reação à ideia (P11)</t>
  </si>
  <si>
    <t>Confia na nota? (P12)</t>
  </si>
  <si>
    <t>O que impediria de usar (P13)</t>
  </si>
  <si>
    <t>feeling</t>
  </si>
  <si>
    <t>saber qual é o defeito e o quanto impacta o uso e longevidade do produto</t>
  </si>
  <si>
    <t>acha que tudo funcionaria, ideia muito sustentável</t>
  </si>
  <si>
    <t>Vitória Ribeiro</t>
  </si>
  <si>
    <t>Karl Tocantins</t>
  </si>
  <si>
    <t>Nicole Couto</t>
  </si>
  <si>
    <t>João Pedro Ribeiro</t>
  </si>
  <si>
    <t>estudante de administração</t>
  </si>
  <si>
    <t>estudente de economia</t>
  </si>
  <si>
    <t>Nunca</t>
  </si>
  <si>
    <t>N</t>
  </si>
  <si>
    <t>guardou</t>
  </si>
  <si>
    <t>N/A</t>
  </si>
  <si>
    <t>analisa o histórico da loja</t>
  </si>
  <si>
    <t>gostaria de poder ver em pessoa</t>
  </si>
  <si>
    <t xml:space="preserve">acha boa apenas para peças de marcas conhecidas com defeitos pequenos </t>
  </si>
  <si>
    <t>acha ruim, nunca compraria roupas com defeito</t>
  </si>
  <si>
    <t>avaliações ruins</t>
  </si>
  <si>
    <t>estudante de arquitetura</t>
  </si>
  <si>
    <t>estudante de direito</t>
  </si>
  <si>
    <t>analisa o custo benefício</t>
  </si>
  <si>
    <t>analise o tamanho do desconto</t>
  </si>
  <si>
    <t>se for um defeito imperceptível</t>
  </si>
  <si>
    <t>se for um defeito pequeno</t>
  </si>
  <si>
    <t>acha boa</t>
  </si>
  <si>
    <t>acha boa, contanto que dê para ver fotos</t>
  </si>
  <si>
    <t>Francisco Carvalho</t>
  </si>
  <si>
    <t>trainee</t>
  </si>
  <si>
    <t>compara o preço com outras marcas</t>
  </si>
  <si>
    <t>Nome</t>
  </si>
  <si>
    <t>saber qual é o defeito e se for algo que o incomoda</t>
  </si>
  <si>
    <t>Resumo das entrevistas</t>
  </si>
  <si>
    <t>descontos ruins</t>
  </si>
  <si>
    <t>Joaquim de Azambuja</t>
  </si>
  <si>
    <t>estudante</t>
  </si>
  <si>
    <t>depende do produto</t>
  </si>
  <si>
    <t>se o defeito afeta a aparência</t>
  </si>
  <si>
    <t>acha boa, mas que podem haver problemas logísticos</t>
  </si>
  <si>
    <t>venda de produtos roubados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</si>
</sst>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"/>
    <numFmt numFmtId="165" formatCode="0\%"/>
    <numFmt numFmtId="166" formatCode="0.0"/>
    <numFmt numFmtId="167" formatCode="0.0\%"/>
    <numFmt numFmtId="168" formatCode="\+0.0\%;\-0.0\%;0\%"/>
  </numFmts>
  <fonts count="11" x14ac:knownFonts="1">
    <font>
      <sz val="11"/>
      <color theme="1"/>
      <name val="Calibri"/>
      <family val="2"/>
      <charset val="1"/>
    </font>
    <font>
      <b/>
      <sz val="16"/>
      <color rgb="FF1F4E79"/>
      <name val="Arial"/>
      <family val="2"/>
    </font>
    <font>
      <i/>
      <sz val="10"/>
      <color rgb="FF80808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9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1" fontId="4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6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167" fontId="4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167" fontId="4" fillId="0" borderId="2" xfId="0" applyNumberFormat="1" applyFont="1" applyBorder="1" applyAlignment="1">
      <alignment horizontal="center"/>
    </xf>
    <xf numFmtId="168" fontId="4" fillId="0" borderId="2" xfId="0" applyNumberFormat="1" applyFont="1" applyBorder="1" applyAlignment="1">
      <alignment horizontal="center"/>
    </xf>
    <xf numFmtId="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8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showGridLines="0" tabSelected="1" zoomScaleNormal="100" workbookViewId="0">
      <pane xSplit="1" ySplit="1" topLeftCell="G2" activePane="bottomRight" state="frozen"/>
      <selection pane="topRight" activeCell="B1" sqref="B1"/>
      <selection pane="bottomLeft" activeCell="A3" sqref="A3"/>
      <selection pane="bottomRight" activeCell="N12" sqref="N12"/>
    </sheetView>
  </sheetViews>
  <sheetFormatPr baseColWidth="10" defaultColWidth="8.6640625" defaultRowHeight="15" x14ac:dyDescent="0.2"/>
  <cols>
    <col min="1" max="1" width="30.1640625" customWidth="1"/>
    <col min="2" max="2" width="6" bestFit="1" customWidth="1"/>
    <col min="3" max="3" width="17.83203125" bestFit="1" customWidth="1"/>
    <col min="4" max="4" width="18.6640625" bestFit="1" customWidth="1"/>
    <col min="5" max="5" width="20" customWidth="1"/>
    <col min="6" max="6" width="18" bestFit="1" customWidth="1"/>
    <col min="7" max="7" width="17" bestFit="1" customWidth="1"/>
    <col min="8" max="8" width="28.83203125" bestFit="1" customWidth="1"/>
    <col min="9" max="9" width="35" bestFit="1" customWidth="1"/>
    <col min="10" max="10" width="38.83203125" bestFit="1" customWidth="1"/>
    <col min="11" max="14" width="13.6640625" bestFit="1" customWidth="1"/>
    <col min="15" max="15" width="16.6640625" bestFit="1" customWidth="1"/>
    <col min="16" max="16" width="14.6640625" bestFit="1" customWidth="1"/>
    <col min="17" max="17" width="23.6640625" bestFit="1" customWidth="1"/>
    <col min="18" max="18" width="20.5" bestFit="1" customWidth="1"/>
    <col min="19" max="19" width="28.5" bestFit="1" customWidth="1"/>
  </cols>
  <sheetData>
    <row r="1" spans="1:19" ht="45.75" customHeight="1" x14ac:dyDescent="0.2">
      <c r="A1" s="5" t="s">
        <v>113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29" t="s">
        <v>77</v>
      </c>
      <c r="J1" s="29" t="s">
        <v>78</v>
      </c>
      <c r="K1" s="5" t="s">
        <v>7</v>
      </c>
      <c r="L1" s="5" t="s">
        <v>8</v>
      </c>
      <c r="M1" s="5" t="s">
        <v>9</v>
      </c>
      <c r="N1" s="5" t="s">
        <v>10</v>
      </c>
      <c r="O1" s="29" t="s">
        <v>79</v>
      </c>
      <c r="P1" s="29" t="s">
        <v>80</v>
      </c>
      <c r="Q1" s="29" t="s">
        <v>81</v>
      </c>
      <c r="R1" s="29" t="s">
        <v>82</v>
      </c>
      <c r="S1" s="29" t="s">
        <v>83</v>
      </c>
    </row>
    <row r="2" spans="1:19" ht="42" customHeight="1" x14ac:dyDescent="0.2">
      <c r="A2" s="27" t="s">
        <v>68</v>
      </c>
      <c r="B2" s="7">
        <v>23</v>
      </c>
      <c r="C2" s="30" t="s">
        <v>67</v>
      </c>
      <c r="D2" s="31" t="s">
        <v>11</v>
      </c>
      <c r="E2" s="32">
        <v>350</v>
      </c>
      <c r="F2" s="7" t="s">
        <v>12</v>
      </c>
      <c r="G2" s="7" t="s">
        <v>12</v>
      </c>
      <c r="H2" s="30" t="s">
        <v>70</v>
      </c>
      <c r="I2" s="30" t="s">
        <v>84</v>
      </c>
      <c r="J2" s="30" t="s">
        <v>85</v>
      </c>
      <c r="K2" s="8">
        <v>15</v>
      </c>
      <c r="L2" s="8">
        <v>35</v>
      </c>
      <c r="M2" s="8">
        <v>40</v>
      </c>
      <c r="N2" s="8" t="s">
        <v>74</v>
      </c>
      <c r="O2" s="7" t="s">
        <v>13</v>
      </c>
      <c r="P2" s="7" t="s">
        <v>61</v>
      </c>
      <c r="Q2" s="30" t="s">
        <v>86</v>
      </c>
      <c r="R2" s="7" t="s">
        <v>64</v>
      </c>
      <c r="S2" s="30" t="s">
        <v>76</v>
      </c>
    </row>
    <row r="3" spans="1:19" ht="42" customHeight="1" x14ac:dyDescent="0.2">
      <c r="A3" s="28" t="s">
        <v>73</v>
      </c>
      <c r="B3" s="10">
        <v>65</v>
      </c>
      <c r="C3" s="33" t="s">
        <v>66</v>
      </c>
      <c r="D3" s="34" t="s">
        <v>69</v>
      </c>
      <c r="E3" s="35">
        <v>55</v>
      </c>
      <c r="F3" s="10" t="s">
        <v>12</v>
      </c>
      <c r="G3" s="10" t="s">
        <v>12</v>
      </c>
      <c r="H3" s="33" t="s">
        <v>70</v>
      </c>
      <c r="I3" s="33" t="s">
        <v>71</v>
      </c>
      <c r="J3" s="33" t="s">
        <v>72</v>
      </c>
      <c r="K3" s="11">
        <v>50</v>
      </c>
      <c r="L3" s="11" t="s">
        <v>74</v>
      </c>
      <c r="M3" s="11">
        <v>10</v>
      </c>
      <c r="N3" s="11">
        <v>10</v>
      </c>
      <c r="O3" s="10" t="s">
        <v>58</v>
      </c>
      <c r="P3" s="10" t="s">
        <v>14</v>
      </c>
      <c r="Q3" s="33" t="s">
        <v>75</v>
      </c>
      <c r="R3" s="10" t="s">
        <v>15</v>
      </c>
      <c r="S3" s="33" t="s">
        <v>76</v>
      </c>
    </row>
    <row r="4" spans="1:19" ht="42" customHeight="1" x14ac:dyDescent="0.2">
      <c r="A4" s="6" t="s">
        <v>87</v>
      </c>
      <c r="B4" s="7">
        <v>21</v>
      </c>
      <c r="C4" s="31" t="s">
        <v>91</v>
      </c>
      <c r="D4" s="31" t="s">
        <v>11</v>
      </c>
      <c r="E4" s="32">
        <v>350</v>
      </c>
      <c r="F4" s="7" t="s">
        <v>12</v>
      </c>
      <c r="G4" s="7" t="s">
        <v>12</v>
      </c>
      <c r="H4" s="31" t="s">
        <v>95</v>
      </c>
      <c r="I4" s="31" t="s">
        <v>97</v>
      </c>
      <c r="J4" s="31" t="s">
        <v>98</v>
      </c>
      <c r="K4" s="8">
        <v>40</v>
      </c>
      <c r="L4" s="8" t="s">
        <v>74</v>
      </c>
      <c r="M4" s="8">
        <v>50</v>
      </c>
      <c r="N4" s="8" t="s">
        <v>74</v>
      </c>
      <c r="O4" s="7" t="s">
        <v>13</v>
      </c>
      <c r="P4" s="7" t="s">
        <v>61</v>
      </c>
      <c r="Q4" s="31" t="s">
        <v>99</v>
      </c>
      <c r="R4" s="7" t="s">
        <v>15</v>
      </c>
      <c r="S4" s="31" t="s">
        <v>101</v>
      </c>
    </row>
    <row r="5" spans="1:19" ht="42" customHeight="1" x14ac:dyDescent="0.2">
      <c r="A5" s="9" t="s">
        <v>88</v>
      </c>
      <c r="B5" s="10">
        <v>23</v>
      </c>
      <c r="C5" s="34" t="s">
        <v>92</v>
      </c>
      <c r="D5" s="34" t="s">
        <v>93</v>
      </c>
      <c r="E5" s="35">
        <v>250</v>
      </c>
      <c r="F5" s="10" t="s">
        <v>12</v>
      </c>
      <c r="G5" s="10" t="s">
        <v>94</v>
      </c>
      <c r="H5" s="34" t="s">
        <v>96</v>
      </c>
      <c r="I5" s="34" t="s">
        <v>97</v>
      </c>
      <c r="J5" s="34" t="s">
        <v>96</v>
      </c>
      <c r="K5" s="11">
        <v>40</v>
      </c>
      <c r="L5" s="11" t="s">
        <v>74</v>
      </c>
      <c r="M5" s="11" t="s">
        <v>74</v>
      </c>
      <c r="N5" s="11" t="s">
        <v>74</v>
      </c>
      <c r="O5" s="10" t="s">
        <v>58</v>
      </c>
      <c r="P5" s="10" t="s">
        <v>14</v>
      </c>
      <c r="Q5" s="34" t="s">
        <v>100</v>
      </c>
      <c r="R5" s="10" t="s">
        <v>15</v>
      </c>
      <c r="S5" s="34" t="s">
        <v>96</v>
      </c>
    </row>
    <row r="6" spans="1:19" ht="42" customHeight="1" x14ac:dyDescent="0.2">
      <c r="A6" s="6" t="s">
        <v>89</v>
      </c>
      <c r="B6" s="7">
        <v>21</v>
      </c>
      <c r="C6" s="31" t="s">
        <v>102</v>
      </c>
      <c r="D6" s="31" t="s">
        <v>69</v>
      </c>
      <c r="E6" s="32">
        <v>350</v>
      </c>
      <c r="F6" s="7" t="s">
        <v>12</v>
      </c>
      <c r="G6" s="7" t="s">
        <v>94</v>
      </c>
      <c r="H6" s="31" t="s">
        <v>96</v>
      </c>
      <c r="I6" s="31" t="s">
        <v>105</v>
      </c>
      <c r="J6" s="31" t="s">
        <v>106</v>
      </c>
      <c r="K6" s="8">
        <v>10</v>
      </c>
      <c r="L6" s="8">
        <v>30</v>
      </c>
      <c r="M6" s="8">
        <v>35</v>
      </c>
      <c r="N6" s="8" t="s">
        <v>74</v>
      </c>
      <c r="O6" s="7" t="s">
        <v>13</v>
      </c>
      <c r="P6" s="7" t="s">
        <v>61</v>
      </c>
      <c r="Q6" s="31" t="s">
        <v>108</v>
      </c>
      <c r="R6" s="7" t="s">
        <v>64</v>
      </c>
      <c r="S6" s="31" t="s">
        <v>101</v>
      </c>
    </row>
    <row r="7" spans="1:19" ht="42" customHeight="1" x14ac:dyDescent="0.2">
      <c r="A7" s="9" t="s">
        <v>90</v>
      </c>
      <c r="B7" s="10">
        <v>21</v>
      </c>
      <c r="C7" s="34" t="s">
        <v>103</v>
      </c>
      <c r="D7" s="34" t="s">
        <v>69</v>
      </c>
      <c r="E7" s="35">
        <v>350</v>
      </c>
      <c r="F7" s="10" t="s">
        <v>12</v>
      </c>
      <c r="G7" s="10" t="s">
        <v>94</v>
      </c>
      <c r="H7" s="34" t="s">
        <v>96</v>
      </c>
      <c r="I7" s="34" t="s">
        <v>104</v>
      </c>
      <c r="J7" s="34" t="s">
        <v>107</v>
      </c>
      <c r="K7" s="11">
        <v>10</v>
      </c>
      <c r="L7" s="11">
        <v>30</v>
      </c>
      <c r="M7" s="11">
        <v>50</v>
      </c>
      <c r="N7" s="11" t="s">
        <v>74</v>
      </c>
      <c r="O7" s="10" t="s">
        <v>13</v>
      </c>
      <c r="P7" s="10" t="s">
        <v>62</v>
      </c>
      <c r="Q7" s="34" t="s">
        <v>109</v>
      </c>
      <c r="R7" s="10" t="s">
        <v>64</v>
      </c>
      <c r="S7" s="34" t="s">
        <v>101</v>
      </c>
    </row>
    <row r="8" spans="1:19" ht="42" customHeight="1" x14ac:dyDescent="0.2">
      <c r="A8" s="6" t="s">
        <v>110</v>
      </c>
      <c r="B8" s="7">
        <v>24</v>
      </c>
      <c r="C8" s="31" t="s">
        <v>111</v>
      </c>
      <c r="D8" s="31" t="s">
        <v>69</v>
      </c>
      <c r="E8" s="32">
        <v>125</v>
      </c>
      <c r="F8" s="7" t="s">
        <v>12</v>
      </c>
      <c r="G8" s="7" t="s">
        <v>12</v>
      </c>
      <c r="H8" s="31" t="s">
        <v>95</v>
      </c>
      <c r="I8" s="31" t="s">
        <v>112</v>
      </c>
      <c r="J8" s="31" t="s">
        <v>114</v>
      </c>
      <c r="K8" s="8">
        <v>0</v>
      </c>
      <c r="L8" s="8">
        <v>35</v>
      </c>
      <c r="M8" s="8" t="s">
        <v>74</v>
      </c>
      <c r="N8" s="8">
        <v>50</v>
      </c>
      <c r="O8" s="7" t="s">
        <v>59</v>
      </c>
      <c r="P8" s="7" t="s">
        <v>61</v>
      </c>
      <c r="Q8" s="31" t="s">
        <v>108</v>
      </c>
      <c r="R8" s="7" t="s">
        <v>64</v>
      </c>
      <c r="S8" s="31" t="s">
        <v>116</v>
      </c>
    </row>
    <row r="9" spans="1:19" ht="42" customHeight="1" x14ac:dyDescent="0.2">
      <c r="A9" s="9" t="s">
        <v>117</v>
      </c>
      <c r="B9" s="10">
        <v>17</v>
      </c>
      <c r="C9" s="34" t="s">
        <v>118</v>
      </c>
      <c r="D9" s="34" t="s">
        <v>69</v>
      </c>
      <c r="E9" s="35">
        <v>250</v>
      </c>
      <c r="F9" s="10" t="s">
        <v>12</v>
      </c>
      <c r="G9" s="10" t="s">
        <v>12</v>
      </c>
      <c r="H9" s="34" t="s">
        <v>95</v>
      </c>
      <c r="I9" s="34" t="s">
        <v>119</v>
      </c>
      <c r="J9" s="34" t="s">
        <v>120</v>
      </c>
      <c r="K9" s="11">
        <v>10</v>
      </c>
      <c r="L9" s="11">
        <v>25</v>
      </c>
      <c r="M9" s="11">
        <v>25</v>
      </c>
      <c r="N9" s="11">
        <v>40</v>
      </c>
      <c r="O9" s="10" t="s">
        <v>13</v>
      </c>
      <c r="P9" s="10" t="s">
        <v>14</v>
      </c>
      <c r="Q9" s="34" t="s">
        <v>121</v>
      </c>
      <c r="R9" s="10" t="s">
        <v>64</v>
      </c>
      <c r="S9" s="34" t="s">
        <v>122</v>
      </c>
    </row>
    <row r="11" spans="1:19" x14ac:dyDescent="0.2">
      <c r="A11" s="12"/>
    </row>
  </sheetData>
  <dataValidations count="5">
    <dataValidation type="list" allowBlank="1" sqref="D2:D9" xr:uid="{00000000-0002-0000-0100-000000000000}">
      <formula1>"Nunca,Poucas vezes por ano,~1x por mês,Mais de 1x por mês"</formula1>
      <formula2>0</formula2>
    </dataValidation>
    <dataValidation type="list" allowBlank="1" sqref="F2:G9" xr:uid="{00000000-0002-0000-0100-000001000000}">
      <formula1>"S,N"</formula1>
      <formula2>0</formula2>
    </dataValidation>
    <dataValidation type="list" allowBlank="1" sqref="O2:O9" xr:uid="{00000000-0002-0000-0100-000003000000}">
      <formula1>"A,B,C,D"</formula1>
      <formula2>0</formula2>
    </dataValidation>
    <dataValidation type="list" allowBlank="1" sqref="P2:P9" xr:uid="{00000000-0002-0000-0100-000004000000}">
      <formula1>"Uso,Aparência,Depende"</formula1>
      <formula2>0</formula2>
    </dataValidation>
    <dataValidation type="list" allowBlank="1" sqref="R2:R9" xr:uid="{00000000-0002-0000-0100-000005000000}">
      <formula1>"Sim,Em parte,Não"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3"/>
  <sheetViews>
    <sheetView showGridLines="0" zoomScaleNormal="100" workbookViewId="0">
      <selection activeCell="C3" sqref="C3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4" width="15" customWidth="1"/>
    <col min="5" max="7" width="12" customWidth="1"/>
    <col min="8" max="8" width="30" customWidth="1"/>
  </cols>
  <sheetData>
    <row r="2" spans="2:8" ht="20" x14ac:dyDescent="0.2">
      <c r="B2" s="1" t="s">
        <v>115</v>
      </c>
    </row>
    <row r="3" spans="2:8" x14ac:dyDescent="0.2">
      <c r="B3" s="2"/>
    </row>
    <row r="5" spans="2:8" ht="16" x14ac:dyDescent="0.2">
      <c r="B5" s="3" t="s">
        <v>16</v>
      </c>
      <c r="C5" s="4"/>
      <c r="D5" s="4"/>
      <c r="E5" s="4"/>
      <c r="F5" s="4"/>
      <c r="G5" s="4"/>
      <c r="H5" s="4"/>
    </row>
    <row r="6" spans="2:8" x14ac:dyDescent="0.2">
      <c r="B6" s="13" t="s">
        <v>17</v>
      </c>
      <c r="C6" s="14">
        <f>SUMPRODUCT(--((Respostas!B2:B9&lt;&gt;"")+(Respostas!D2:D9&lt;&gt;"")+(Respostas!K2:K9&lt;&gt;"")&gt;0))</f>
        <v>8</v>
      </c>
      <c r="D6" s="15"/>
    </row>
    <row r="7" spans="2:8" x14ac:dyDescent="0.2">
      <c r="B7" s="13" t="s">
        <v>18</v>
      </c>
      <c r="C7" s="16">
        <f>IF($C$6=0,"—",IFERROR(AVERAGE(Respostas!B2:B9),"—"))</f>
        <v>26.875</v>
      </c>
    </row>
    <row r="8" spans="2:8" x14ac:dyDescent="0.2">
      <c r="B8" s="13" t="s">
        <v>19</v>
      </c>
      <c r="C8" s="17">
        <f>IF($C$6=0,"—",IFERROR(AVERAGE(Respostas!E2:E9),"—"))</f>
        <v>260</v>
      </c>
    </row>
    <row r="9" spans="2:8" x14ac:dyDescent="0.2">
      <c r="B9" s="13" t="s">
        <v>20</v>
      </c>
      <c r="C9" s="18">
        <f>IFERROR(COUNTIF(Respostas!F2:F9,"S")/$C$6,"—")</f>
        <v>1</v>
      </c>
    </row>
    <row r="10" spans="2:8" x14ac:dyDescent="0.2">
      <c r="B10" s="13" t="s">
        <v>21</v>
      </c>
      <c r="C10" s="18">
        <f>IFERROR(COUNTIF(Respostas!G2:G9,"S")/$C$6,"—")</f>
        <v>0.625</v>
      </c>
    </row>
    <row r="12" spans="2:8" ht="16" x14ac:dyDescent="0.2">
      <c r="B12" s="3" t="s">
        <v>22</v>
      </c>
      <c r="C12" s="4"/>
      <c r="D12" s="4"/>
      <c r="E12" s="4"/>
      <c r="F12" s="4"/>
      <c r="G12" s="4"/>
      <c r="H12" s="4"/>
    </row>
    <row r="13" spans="2:8" ht="27.75" customHeight="1" x14ac:dyDescent="0.2">
      <c r="B13" s="5" t="s">
        <v>23</v>
      </c>
      <c r="C13" s="5" t="s">
        <v>24</v>
      </c>
      <c r="D13" s="5" t="s">
        <v>25</v>
      </c>
      <c r="E13" s="5" t="s">
        <v>26</v>
      </c>
      <c r="F13" s="5" t="s">
        <v>27</v>
      </c>
      <c r="G13" s="5" t="s">
        <v>28</v>
      </c>
      <c r="H13" s="5" t="s">
        <v>29</v>
      </c>
    </row>
    <row r="14" spans="2:8" ht="24" customHeight="1" x14ac:dyDescent="0.2">
      <c r="B14" s="19" t="s">
        <v>30</v>
      </c>
      <c r="C14" s="20">
        <f>IF($C$6=0,"—",IFERROR(AVERAGE(Respostas!K2:K9),"—"))</f>
        <v>21.875</v>
      </c>
      <c r="D14" s="11">
        <f>IF($C$6=0,"—",IFERROR(MEDIAN(Respostas!K2:K9),"—"))</f>
        <v>12.5</v>
      </c>
      <c r="E14" s="11">
        <f>IF($C$6=0,"—",IFERROR(MIN(Respostas!K2:K9),"—"))</f>
        <v>0</v>
      </c>
      <c r="F14" s="11">
        <f>IF($C$6=0,"—",IFERROR(MAX(Respostas!K2:K9),"—"))</f>
        <v>50</v>
      </c>
      <c r="G14" s="21">
        <f>COUNTIF(Respostas!K2:K9,"NC")</f>
        <v>0</v>
      </c>
      <c r="H14" s="22" t="s">
        <v>31</v>
      </c>
    </row>
    <row r="15" spans="2:8" ht="24" customHeight="1" x14ac:dyDescent="0.2">
      <c r="B15" s="19" t="s">
        <v>32</v>
      </c>
      <c r="C15" s="20">
        <f>IF($C$6=0,"—",IFERROR(AVERAGE(Respostas!L2:L9),"—"))</f>
        <v>31</v>
      </c>
      <c r="D15" s="11">
        <f>IF($C$6=0,"—",IFERROR(MEDIAN(Respostas!L2:L9),"—"))</f>
        <v>30</v>
      </c>
      <c r="E15" s="11">
        <f>IF($C$6=0,"—",IFERROR(MIN(Respostas!L2:L9),"—"))</f>
        <v>25</v>
      </c>
      <c r="F15" s="11">
        <f>IF($C$6=0,"—",IFERROR(MAX(Respostas!L2:L9),"—"))</f>
        <v>35</v>
      </c>
      <c r="G15" s="21">
        <f>COUNTIF(Respostas!L2:L9,"NC")</f>
        <v>3</v>
      </c>
      <c r="H15" s="22" t="s">
        <v>33</v>
      </c>
    </row>
    <row r="16" spans="2:8" ht="24" customHeight="1" x14ac:dyDescent="0.2">
      <c r="B16" s="19" t="s">
        <v>34</v>
      </c>
      <c r="C16" s="20">
        <f>IF($C$6=0,"—",IFERROR(AVERAGE(Respostas!M2:M9),"—"))</f>
        <v>35</v>
      </c>
      <c r="D16" s="11">
        <f>IF($C$6=0,"—",IFERROR(MEDIAN(Respostas!M2:M9),"—"))</f>
        <v>37.5</v>
      </c>
      <c r="E16" s="11">
        <f>IF($C$6=0,"—",IFERROR(MIN(Respostas!M2:M9),"—"))</f>
        <v>10</v>
      </c>
      <c r="F16" s="11">
        <f>IF($C$6=0,"—",IFERROR(MAX(Respostas!M2:M9),"—"))</f>
        <v>50</v>
      </c>
      <c r="G16" s="21">
        <f>COUNTIF(Respostas!M2:M9,"NC")</f>
        <v>2</v>
      </c>
      <c r="H16" s="22" t="s">
        <v>35</v>
      </c>
    </row>
    <row r="17" spans="2:8" ht="24" customHeight="1" x14ac:dyDescent="0.2">
      <c r="B17" s="19" t="s">
        <v>36</v>
      </c>
      <c r="C17" s="20">
        <f>IF($C$6=0,"—",IFERROR(AVERAGE(Respostas!N2:N9),"—"))</f>
        <v>33.333333333333336</v>
      </c>
      <c r="D17" s="11">
        <f>IF($C$6=0,"—",IFERROR(MEDIAN(Respostas!N2:N9),"—"))</f>
        <v>40</v>
      </c>
      <c r="E17" s="11">
        <f>IF($C$6=0,"—",IFERROR(MIN(Respostas!N2:N9),"—"))</f>
        <v>10</v>
      </c>
      <c r="F17" s="11">
        <f>IF($C$6=0,"—",IFERROR(MAX(Respostas!N2:N9),"—"))</f>
        <v>50</v>
      </c>
      <c r="G17" s="21">
        <f>COUNTIF(Respostas!N2:N9,"NC")</f>
        <v>5</v>
      </c>
      <c r="H17" s="22" t="s">
        <v>37</v>
      </c>
    </row>
    <row r="20" spans="2:8" ht="17" thickBot="1" x14ac:dyDescent="0.25">
      <c r="B20" s="3" t="s">
        <v>38</v>
      </c>
      <c r="C20" s="4"/>
      <c r="D20" s="4"/>
      <c r="E20" s="4"/>
      <c r="F20" s="4"/>
      <c r="G20" s="4"/>
      <c r="H20" s="4"/>
    </row>
    <row r="21" spans="2:8" x14ac:dyDescent="0.2">
      <c r="B21" s="36"/>
      <c r="C21" s="36"/>
      <c r="D21" s="36"/>
      <c r="E21" s="36"/>
      <c r="F21" s="36"/>
      <c r="G21" s="36"/>
      <c r="H21" s="36"/>
    </row>
    <row r="23" spans="2:8" x14ac:dyDescent="0.2">
      <c r="B23" s="13" t="s">
        <v>39</v>
      </c>
      <c r="C23" s="23">
        <f>IFERROR(C14,"—")</f>
        <v>21.875</v>
      </c>
      <c r="D23" s="15" t="s">
        <v>40</v>
      </c>
    </row>
    <row r="24" spans="2:8" x14ac:dyDescent="0.2">
      <c r="B24" s="13" t="s">
        <v>41</v>
      </c>
      <c r="C24" s="24">
        <f>IFERROR(C15-C14,"—")</f>
        <v>9.125</v>
      </c>
      <c r="D24" s="15" t="s">
        <v>42</v>
      </c>
    </row>
    <row r="25" spans="2:8" x14ac:dyDescent="0.2">
      <c r="B25" s="13" t="s">
        <v>43</v>
      </c>
      <c r="C25" s="24">
        <f>IFERROR(C17-C15,"—")</f>
        <v>2.3333333333333357</v>
      </c>
      <c r="D25" s="15" t="s">
        <v>44</v>
      </c>
    </row>
    <row r="26" spans="2:8" x14ac:dyDescent="0.2">
      <c r="B26" s="13" t="s">
        <v>45</v>
      </c>
      <c r="C26" s="24">
        <f>IFERROR(C16-C15,"—")</f>
        <v>4</v>
      </c>
      <c r="D26" s="15" t="s">
        <v>46</v>
      </c>
    </row>
    <row r="27" spans="2:8" x14ac:dyDescent="0.2">
      <c r="B27" s="13" t="s">
        <v>47</v>
      </c>
      <c r="C27" s="23">
        <f>IF($C$6=0,"—",IFERROR(MAX(C14:C17),"—"))</f>
        <v>35</v>
      </c>
      <c r="D27" s="15" t="s">
        <v>48</v>
      </c>
    </row>
    <row r="28" spans="2:8" x14ac:dyDescent="0.2">
      <c r="B28" s="13" t="s">
        <v>49</v>
      </c>
      <c r="C28" s="14">
        <f>SUM(G14:G17)</f>
        <v>10</v>
      </c>
      <c r="D28" s="15" t="s">
        <v>50</v>
      </c>
    </row>
    <row r="30" spans="2:8" ht="16" x14ac:dyDescent="0.2">
      <c r="B30" s="3" t="s">
        <v>51</v>
      </c>
      <c r="C30" s="4"/>
      <c r="D30" s="4"/>
      <c r="E30" s="4"/>
      <c r="F30" s="4"/>
      <c r="G30" s="4"/>
      <c r="H30" s="4"/>
    </row>
    <row r="31" spans="2:8" ht="30" x14ac:dyDescent="0.2">
      <c r="B31" s="5" t="s">
        <v>52</v>
      </c>
      <c r="C31" s="5" t="s">
        <v>53</v>
      </c>
      <c r="D31" s="5" t="s">
        <v>54</v>
      </c>
      <c r="E31" s="5" t="s">
        <v>55</v>
      </c>
    </row>
    <row r="32" spans="2:8" x14ac:dyDescent="0.2">
      <c r="B32" s="19" t="s">
        <v>56</v>
      </c>
      <c r="C32" s="10" t="s">
        <v>57</v>
      </c>
      <c r="D32" s="21">
        <f>COUNTIF(Respostas!O2:O9,"A")</f>
        <v>0</v>
      </c>
      <c r="E32" s="25">
        <f>IFERROR(D32/$C$6,"—")</f>
        <v>0</v>
      </c>
    </row>
    <row r="33" spans="2:5" x14ac:dyDescent="0.2">
      <c r="B33" s="26"/>
      <c r="C33" s="10" t="s">
        <v>58</v>
      </c>
      <c r="D33" s="21">
        <f>COUNTIF(Respostas!O2:O9,"B")</f>
        <v>2</v>
      </c>
      <c r="E33" s="25">
        <f>IFERROR(D33/$C$6,"—")</f>
        <v>0.25</v>
      </c>
    </row>
    <row r="34" spans="2:5" x14ac:dyDescent="0.2">
      <c r="B34" s="26"/>
      <c r="C34" s="10" t="s">
        <v>59</v>
      </c>
      <c r="D34" s="21">
        <f>COUNTIF(Respostas!O2:O9,"C")</f>
        <v>1</v>
      </c>
      <c r="E34" s="25">
        <f>IFERROR(D34/$C$6,"—")</f>
        <v>0.125</v>
      </c>
    </row>
    <row r="35" spans="2:5" x14ac:dyDescent="0.2">
      <c r="B35" s="26"/>
      <c r="C35" s="10" t="s">
        <v>13</v>
      </c>
      <c r="D35" s="21">
        <f>COUNTIF(Respostas!O2:O9,"D")</f>
        <v>5</v>
      </c>
      <c r="E35" s="25">
        <f>IFERROR(D35/$C$6,"—")</f>
        <v>0.625</v>
      </c>
    </row>
    <row r="37" spans="2:5" x14ac:dyDescent="0.2">
      <c r="B37" s="19" t="s">
        <v>60</v>
      </c>
      <c r="C37" s="10" t="s">
        <v>61</v>
      </c>
      <c r="D37" s="21">
        <f>COUNTIF(Respostas!P2:P9,"Uso")</f>
        <v>4</v>
      </c>
      <c r="E37" s="25">
        <f>IFERROR(D37/$C$6,"—")</f>
        <v>0.5</v>
      </c>
    </row>
    <row r="38" spans="2:5" x14ac:dyDescent="0.2">
      <c r="B38" s="26"/>
      <c r="C38" s="10" t="s">
        <v>14</v>
      </c>
      <c r="D38" s="21">
        <f>COUNTIF(Respostas!P2:P9,"Aparência")</f>
        <v>3</v>
      </c>
      <c r="E38" s="25">
        <f>IFERROR(D38/$C$6,"—")</f>
        <v>0.375</v>
      </c>
    </row>
    <row r="39" spans="2:5" x14ac:dyDescent="0.2">
      <c r="B39" s="26"/>
      <c r="C39" s="10" t="s">
        <v>62</v>
      </c>
      <c r="D39" s="21">
        <f>COUNTIF(Respostas!P2:P9,"Depende")</f>
        <v>1</v>
      </c>
      <c r="E39" s="25">
        <f>IFERROR(D39/$C$6,"—")</f>
        <v>0.125</v>
      </c>
    </row>
    <row r="41" spans="2:5" x14ac:dyDescent="0.2">
      <c r="B41" s="19" t="s">
        <v>63</v>
      </c>
      <c r="C41" s="10" t="s">
        <v>64</v>
      </c>
      <c r="D41" s="21">
        <f>COUNTIF(Respostas!R2:R9,"Sim")</f>
        <v>5</v>
      </c>
      <c r="E41" s="25">
        <f>IFERROR(D41/$C$6,"—")</f>
        <v>0.625</v>
      </c>
    </row>
    <row r="42" spans="2:5" x14ac:dyDescent="0.2">
      <c r="B42" s="26"/>
      <c r="C42" s="10" t="s">
        <v>15</v>
      </c>
      <c r="D42" s="21">
        <f>COUNTIF(Respostas!R2:R9,"Em parte")</f>
        <v>3</v>
      </c>
      <c r="E42" s="25">
        <f>IFERROR(D42/$C$6,"—")</f>
        <v>0.375</v>
      </c>
    </row>
    <row r="43" spans="2:5" x14ac:dyDescent="0.2">
      <c r="B43" s="26"/>
      <c r="C43" s="10" t="s">
        <v>65</v>
      </c>
      <c r="D43" s="21">
        <f>COUNTIF(Respostas!R2:R9,"Não")</f>
        <v>0</v>
      </c>
      <c r="E43" s="25">
        <f>IFERROR(D43/$C$6,"—")</f>
        <v>0</v>
      </c>
    </row>
  </sheetData>
  <mergeCells count="1">
    <mergeCell ref="B21:H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Respostas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Fehring</cp:lastModifiedBy>
  <cp:revision>0</cp:revision>
  <dcterms:created xsi:type="dcterms:W3CDTF">2026-08-29T18:32:26Z</dcterms:created>
  <dcterms:modified xsi:type="dcterms:W3CDTF">2026-09-03T22:26:06Z</dcterms:modified>
  <dc:language>en-US</dc:language>
</cp:coreProperties>
</file>